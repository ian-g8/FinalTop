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an-g8\projects\FinalTop\eval\"/>
    </mc:Choice>
  </mc:AlternateContent>
  <xr:revisionPtr revIDLastSave="0" documentId="13_ncr:1_{13BB0CCA-BAA3-4C07-A389-8D5FB0E30EC4}" xr6:coauthVersionLast="47" xr6:coauthVersionMax="47" xr10:uidLastSave="{00000000-0000-0000-0000-000000000000}"/>
  <bookViews>
    <workbookView xWindow="-108" yWindow="-108" windowWidth="23256" windowHeight="13896" xr2:uid="{DC97868F-0C32-49C4-BD1D-CDEEAEA189B3}"/>
  </bookViews>
  <sheets>
    <sheet name="Wheel_Gripper_Comparison" sheetId="1" r:id="rId1"/>
    <sheet name="Beam_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2" l="1"/>
  <c r="C13" i="2"/>
  <c r="D13" i="2"/>
  <c r="B14" i="2"/>
  <c r="C14" i="2"/>
  <c r="D14" i="2"/>
  <c r="B15" i="2"/>
  <c r="C15" i="2"/>
  <c r="D15" i="2"/>
  <c r="B16" i="2"/>
  <c r="C16" i="2"/>
  <c r="D16" i="2"/>
  <c r="D12" i="2"/>
  <c r="C12" i="2"/>
  <c r="B12" i="2"/>
  <c r="D19" i="1"/>
  <c r="D18" i="1"/>
  <c r="C19" i="1"/>
  <c r="B19" i="1"/>
  <c r="C18" i="1"/>
  <c r="B18" i="1"/>
</calcChain>
</file>

<file path=xl/sharedStrings.xml><?xml version="1.0" encoding="utf-8"?>
<sst xmlns="http://schemas.openxmlformats.org/spreadsheetml/2006/main" count="50" uniqueCount="22">
  <si>
    <t>G model</t>
  </si>
  <si>
    <t>NH1</t>
  </si>
  <si>
    <t>NH2</t>
  </si>
  <si>
    <t>StVK</t>
  </si>
  <si>
    <t>Default</t>
  </si>
  <si>
    <t>Guth</t>
  </si>
  <si>
    <t>Mooney</t>
  </si>
  <si>
    <t>Kerner</t>
  </si>
  <si>
    <t>Wheel</t>
  </si>
  <si>
    <t>Gripper</t>
  </si>
  <si>
    <t>Micro</t>
  </si>
  <si>
    <t>Small</t>
  </si>
  <si>
    <t>Medium</t>
  </si>
  <si>
    <t>Large</t>
  </si>
  <si>
    <t>Relative Difference from Default</t>
  </si>
  <si>
    <t>Where:</t>
  </si>
  <si>
    <t xml:space="preserve">% Diff = abs( (Ug-Ud)/Ud) </t>
  </si>
  <si>
    <t>Load Magnitude</t>
  </si>
  <si>
    <t>Magnetized Tip</t>
  </si>
  <si>
    <t>Load Case</t>
  </si>
  <si>
    <t>Beam Comparison with NH2 Constant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</si>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</sst>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Affect on Wheel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Wheel_Gripper_Comparison!$B$2</c:f>
              <c:strCache>
                <c:ptCount val="1"/>
                <c:pt idx="0">
                  <c:v>NH1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Wheel_Gripper_Comparison!$A$3:$A$6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Wheel_Gripper_Comparison!$B$3:$B$6</c:f>
              <c:numCache>
                <c:formatCode>General</c:formatCode>
                <c:ptCount val="4"/>
                <c:pt idx="0">
                  <c:v>0.95379999999999998</c:v>
                </c:pt>
                <c:pt idx="1">
                  <c:v>0.69789999999999996</c:v>
                </c:pt>
                <c:pt idx="2">
                  <c:v>0.65359999999999996</c:v>
                </c:pt>
                <c:pt idx="3">
                  <c:v>0.79949999999999999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9-45DC-9AD6-FEEC0DA39DC3}"/>
            </c:ext>
          </c:extLst>
        </c:ser>
        <c:ser>
          <c:idx val="1"/>
          <c:order val="1"/>
          <c:tx>
            <c:strRef>
              <c:f>Wheel_Gripper_Comparison!$C$2</c:f>
              <c:strCache>
                <c:ptCount val="1"/>
                <c:pt idx="0">
                  <c:v>NH2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Wheel_Gripper_Comparison!$A$3:$A$6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Wheel_Gripper_Comparison!$C$3:$C$6</c:f>
              <c:numCache>
                <c:formatCode>General</c:formatCode>
                <c:ptCount val="4"/>
                <c:pt idx="0">
                  <c:v>0.95379999999999998</c:v>
                </c:pt>
                <c:pt idx="1">
                  <c:v>0.69799999999999995</c:v>
                </c:pt>
                <c:pt idx="2">
                  <c:v>0.65369999999999995</c:v>
                </c:pt>
                <c:pt idx="3">
                  <c:v>0.79949999999999999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9-45DC-9AD6-FEEC0DA39DC3}"/>
            </c:ext>
          </c:extLst>
        </c:ser>
        <c:ser>
          <c:idx val="2"/>
          <c:order val="2"/>
          <c:tx>
            <c:strRef>
              <c:f>Wheel_Gripper_Comparison!$D$2</c:f>
              <c:strCache>
                <c:ptCount val="1"/>
                <c:pt idx="0">
                  <c:v>StVK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Wheel_Gripper_Comparison!$A$3:$A$6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Wheel_Gripper_Comparison!$D$3:$D$6</c:f>
              <c:numCache>
                <c:formatCode>General</c:formatCode>
                <c:ptCount val="4"/>
                <c:pt idx="0">
                  <c:v>0.9667</c:v>
                </c:pt>
                <c:pt idx="1">
                  <c:v>0.69720000000000004</c:v>
                </c:pt>
                <c:pt idx="2">
                  <c:v>0.65169999999999995</c:v>
                </c:pt>
                <c:pt idx="3">
                  <c:v>0.80269999999999997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9-45DC-9AD6-FEEC0DA3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455520"/>
        <c:axId val="594456000"/>
      </c:barChart>
      <c:catAx>
        <c:axId val="59445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Shear Modulus Relation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56000"/>
        <c:crosses val="autoZero"/>
        <c:auto val="1"/>
        <c:lblAlgn val="ctr"/>
        <c:lblOffset val="100"/>
        <c:noMultiLvlLbl val="0"/>
      </c:catAx>
      <c:valAx>
        <c:axId val="5944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Displacement Magnitude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5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Affect on Gripper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Wheel_Gripper_Comparison!$B$9</c:f>
              <c:strCache>
                <c:ptCount val="1"/>
                <c:pt idx="0">
                  <c:v>NH1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Wheel_Gripper_Comparison!$A$10:$A$13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Wheel_Gripper_Comparison!$B$10:$B$13</c:f>
              <c:numCache>
                <c:formatCode>0.0000</c:formatCode>
                <c:ptCount val="4"/>
                <c:pt idx="0">
                  <c:v>1.8438298034523</c:v>
                </c:pt>
                <c:pt idx="1">
                  <c:v>1.7286666346497299</c:v>
                </c:pt>
                <c:pt idx="2">
                  <c:v>1.71755194470252</c:v>
                </c:pt>
                <c:pt idx="3">
                  <c:v>1.7615745175880899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2-4359-AC1C-A354B97A2524}"/>
            </c:ext>
          </c:extLst>
        </c:ser>
        <c:ser>
          <c:idx val="1"/>
          <c:order val="1"/>
          <c:tx>
            <c:strRef>
              <c:f>Wheel_Gripper_Comparison!$C$9</c:f>
              <c:strCache>
                <c:ptCount val="1"/>
                <c:pt idx="0">
                  <c:v>NH2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Wheel_Gripper_Comparison!$A$10:$A$13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Wheel_Gripper_Comparison!$C$10:$C$13</c:f>
              <c:numCache>
                <c:formatCode>0.0000</c:formatCode>
                <c:ptCount val="4"/>
                <c:pt idx="0">
                  <c:v>1.84338246688453</c:v>
                </c:pt>
                <c:pt idx="1">
                  <c:v>1.7287784283543099</c:v>
                </c:pt>
                <c:pt idx="2">
                  <c:v>1.7178082711451399</c:v>
                </c:pt>
                <c:pt idx="3">
                  <c:v>1.7614138277217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2-4359-AC1C-A354B97A2524}"/>
            </c:ext>
          </c:extLst>
        </c:ser>
        <c:ser>
          <c:idx val="2"/>
          <c:order val="2"/>
          <c:tx>
            <c:strRef>
              <c:f>Wheel_Gripper_Comparison!$D$9</c:f>
              <c:strCache>
                <c:ptCount val="1"/>
                <c:pt idx="0">
                  <c:v>StVK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Wheel_Gripper_Comparison!$A$10:$A$13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Wheel_Gripper_Comparison!$D$10:$D$13</c:f>
              <c:numCache>
                <c:formatCode>0.0000</c:formatCode>
                <c:ptCount val="4"/>
                <c:pt idx="0">
                  <c:v>1.8487956246572099</c:v>
                </c:pt>
                <c:pt idx="1">
                  <c:v>1.7359708081387899</c:v>
                </c:pt>
                <c:pt idx="2">
                  <c:v>1.7251720106530299</c:v>
                </c:pt>
                <c:pt idx="3">
                  <c:v>1.76809188651991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72-4359-AC1C-A354B97A2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065152"/>
        <c:axId val="750081472"/>
      </c:barChart>
      <c:catAx>
        <c:axId val="75006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Modulus 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81472"/>
        <c:crosses val="autoZero"/>
        <c:auto val="1"/>
        <c:lblAlgn val="ctr"/>
        <c:lblOffset val="100"/>
        <c:noMultiLvlLbl val="0"/>
      </c:catAx>
      <c:valAx>
        <c:axId val="7500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Displacement 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Affect on Beam Loading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Beam_Comparison!$B$2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Beam_Comparison!$B$3:$B$7</c:f>
              <c:numCache>
                <c:formatCode>General</c:formatCode>
                <c:ptCount val="5"/>
                <c:pt idx="0">
                  <c:v>0.132837940797006</c:v>
                </c:pt>
                <c:pt idx="1">
                  <c:v>0.45704881801401098</c:v>
                </c:pt>
                <c:pt idx="2">
                  <c:v>0.70088400530086803</c:v>
                </c:pt>
                <c:pt idx="3">
                  <c:v>0.92486510535883804</c:v>
                </c:pt>
                <c:pt idx="4">
                  <c:v>0.43565511996297401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8-4C37-9E1D-F5C77775023A}"/>
            </c:ext>
          </c:extLst>
        </c:ser>
        <c:ser>
          <c:idx val="1"/>
          <c:order val="1"/>
          <c:tx>
            <c:strRef>
              <c:f>Beam_Comparison!$C$2</c:f>
              <c:strCache>
                <c:ptCount val="1"/>
                <c:pt idx="0">
                  <c:v>Guth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Beam_Comparison!$C$3:$C$7</c:f>
              <c:numCache>
                <c:formatCode>General</c:formatCode>
                <c:ptCount val="5"/>
                <c:pt idx="0">
                  <c:v>4.71476068422335E-2</c:v>
                </c:pt>
                <c:pt idx="1">
                  <c:v>0.18438431330628</c:v>
                </c:pt>
                <c:pt idx="2">
                  <c:v>0.34541796582759698</c:v>
                </c:pt>
                <c:pt idx="3">
                  <c:v>0.576477041859215</c:v>
                </c:pt>
                <c:pt idx="4">
                  <c:v>0.43687707375074197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8-4C37-9E1D-F5C77775023A}"/>
            </c:ext>
          </c:extLst>
        </c:ser>
        <c:ser>
          <c:idx val="2"/>
          <c:order val="2"/>
          <c:tx>
            <c:strRef>
              <c:f>Beam_Comparison!$D$2</c:f>
              <c:strCache>
                <c:ptCount val="1"/>
                <c:pt idx="0">
                  <c:v>Mooney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Beam_Comparison!$D$3:$D$7</c:f>
              <c:numCache>
                <c:formatCode>General</c:formatCode>
                <c:ptCount val="5"/>
                <c:pt idx="0">
                  <c:v>4.0631446354482598E-2</c:v>
                </c:pt>
                <c:pt idx="1">
                  <c:v>0.159811500172961</c:v>
                </c:pt>
                <c:pt idx="2">
                  <c:v>0.30388583540334402</c:v>
                </c:pt>
                <c:pt idx="3">
                  <c:v>0.52327219067318398</c:v>
                </c:pt>
                <c:pt idx="4">
                  <c:v>0.43697983419269099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98-4C37-9E1D-F5C77775023A}"/>
            </c:ext>
          </c:extLst>
        </c:ser>
        <c:ser>
          <c:idx val="3"/>
          <c:order val="3"/>
          <c:tx>
            <c:strRef>
              <c:f>Beam_Comparison!$E$2</c:f>
              <c:strCache>
                <c:ptCount val="1"/>
                <c:pt idx="0">
                  <c:v>Kerner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Beam_Comparison!$E$3:$E$7</c:f>
              <c:numCache>
                <c:formatCode>General</c:formatCode>
                <c:ptCount val="5"/>
                <c:pt idx="0">
                  <c:v>6.7857361094004004E-2</c:v>
                </c:pt>
                <c:pt idx="1">
                  <c:v>0.259349362226998</c:v>
                </c:pt>
                <c:pt idx="2">
                  <c:v>0.46131548553317597</c:v>
                </c:pt>
                <c:pt idx="3">
                  <c:v>0.70681956698280002</c:v>
                </c:pt>
                <c:pt idx="4">
                  <c:v>0.43654444642909401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98-4C37-9E1D-F5C777750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108832"/>
        <c:axId val="750109792"/>
      </c:barChart>
      <c:catAx>
        <c:axId val="75010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Beam Load 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09792"/>
        <c:crosses val="autoZero"/>
        <c:auto val="1"/>
        <c:lblAlgn val="ctr"/>
        <c:lblOffset val="100"/>
        <c:noMultiLvlLbl val="0"/>
      </c:catAx>
      <c:valAx>
        <c:axId val="7501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Displacement 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605118</xdr:colOff>
      <xdr:row>0</xdr:row>
      <xdr:rowOff>0</xdr:rowOff>
    </xdr:from>
    <xdr:to>
      <xdr:col>11</xdr:col>
      <xdr:colOff>168086</xdr:colOff>
      <xdr:row>12</xdr:row>
      <xdr:rowOff>119530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AF1678-048B-99B1-5FFA-4A7DADBE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605118</xdr:colOff>
      <xdr:row>12</xdr:row>
      <xdr:rowOff>127000</xdr:rowOff>
    </xdr:from>
    <xdr:to>
      <xdr:col>11</xdr:col>
      <xdr:colOff>179294</xdr:colOff>
      <xdr:row>25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2985BF-C736-6E55-C16B-BD73B67BC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3810</xdr:rowOff>
    </xdr:from>
    <xdr:to>
      <xdr:col>13</xdr:col>
      <xdr:colOff>304800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97E3E9-AF31-FAFC-1992-18F75FFCB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A44438-3D2B-49C3-AEC5-368563795A38}" name="Table3" displayName="Table3" ref="A2:D6" totalsRowShown="0">
  <autoFilter ref="A2:D6" xr:uid="{FCA44438-3D2B-49C3-AEC5-368563795A38}"/>
  <tableColumns count="4">
    <tableColumn id="1" xr3:uid="{10BE39A2-D58C-4415-B31A-E7D54B6146B7}" name="G model"/>
    <tableColumn id="2" xr3:uid="{82D8A7D9-165E-49C3-9BBA-5C7CCF4E0B90}" name="NH1"/>
    <tableColumn id="3" xr3:uid="{6FA4CC7A-F19D-4051-8004-C8A708C3ABF0}" name="NH2"/>
    <tableColumn id="4" xr3:uid="{34A0C971-0CE5-4343-A781-B6485D9A649A}" name="StV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8B1F19-8AAE-4F39-9AE7-0F32C71F1F3F}" name="Table4" displayName="Table4" ref="A9:D13" totalsRowShown="0">
  <autoFilter ref="A9:D13" xr:uid="{F98B1F19-8AAE-4F39-9AE7-0F32C71F1F3F}"/>
  <tableColumns count="4">
    <tableColumn id="1" xr3:uid="{72E8BBB5-8A10-4EFF-B75B-A9B4347ABF4C}" name="G model"/>
    <tableColumn id="2" xr3:uid="{C4C5C7A6-8547-4AA4-B067-90B7D8E52B95}" name="NH1" dataDxfId="6"/>
    <tableColumn id="3" xr3:uid="{8A9876E2-2BE6-4BFE-9FE6-00BCC5A4596A}" name="NH2" dataDxfId="5"/>
    <tableColumn id="4" xr3:uid="{D52BB815-B6A5-494E-B26C-07E95A6CF888}" name="StVK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39363F-B9B0-4E99-BC21-6BC51B855E48}" name="Table5" displayName="Table5" ref="A17:D19" totalsRowShown="0" dataDxfId="3" dataCellStyle="Percent">
  <autoFilter ref="A17:D19" xr:uid="{4839363F-B9B0-4E99-BC21-6BC51B855E48}"/>
  <tableColumns count="4">
    <tableColumn id="1" xr3:uid="{B47D74DD-FA03-4401-964F-485ABBC8E85E}" name="Geometry"/>
    <tableColumn id="2" xr3:uid="{BF908CE0-ED53-49DD-A803-878A9E9653F4}" name="Guth" dataDxfId="2" dataCellStyle="Percent">
      <calculatedColumnFormula>ABS((C10-C9)/C9)</calculatedColumnFormula>
    </tableColumn>
    <tableColumn id="3" xr3:uid="{AF3E19AD-0890-4D34-BDED-1E7928398A92}" name="Mooney" dataDxfId="1" dataCellStyle="Percent">
      <calculatedColumnFormula>ABS((C11-C9)/C9)</calculatedColumnFormula>
    </tableColumn>
    <tableColumn id="4" xr3:uid="{DC2B6ECF-0580-4856-8BBB-9CF67ABFE4F0}" name="Kerner" dataDxfId="0" dataCellStyle="Percent">
      <calculatedColumnFormula>ABS((C12-C9)/C9)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F43FC-C4CD-4ACA-AC46-2B709B2BCAD5}" name="Table1" displayName="Table1" ref="A11:D16" totalsRowShown="0" dataDxfId="10" dataCellStyle="Percent">
  <autoFilter ref="A11:D16" xr:uid="{4B7F43FC-C4CD-4ACA-AC46-2B709B2BCAD5}"/>
  <tableColumns count="4">
    <tableColumn id="1" xr3:uid="{1C96DD68-5388-41C8-80A4-631AF2530025}" name="Load Case"/>
    <tableColumn id="2" xr3:uid="{C0C49FD7-8D17-437F-88C8-BB6258B99219}" name="Guth" dataDxfId="9" dataCellStyle="Percent">
      <calculatedColumnFormula>ABS((C3-B3)/B3)</calculatedColumnFormula>
    </tableColumn>
    <tableColumn id="3" xr3:uid="{CB5631BD-80FB-4B0B-BC78-3E45F11C5622}" name="Mooney" dataDxfId="8" dataCellStyle="Percent">
      <calculatedColumnFormula>ABS((D3-B3)/B3)</calculatedColumnFormula>
    </tableColumn>
    <tableColumn id="4" xr3:uid="{64489D84-8154-4AB7-B213-01F3A56C4E26}" name="Kerner" dataDxfId="7" dataCellStyle="Percent">
      <calculatedColumnFormula>ABS((E3-B3)/B3)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36F957-79EA-4A9C-A088-0551A65C1F5C}" name="Table2" displayName="Table2" ref="A2:E7" totalsRowShown="0">
  <autoFilter ref="A2:E7" xr:uid="{1636F957-79EA-4A9C-A088-0551A65C1F5C}"/>
  <tableColumns count="5">
    <tableColumn id="1" xr3:uid="{BBB9A9AD-3816-4FCF-910B-BC91E45978F8}" name="Load Magnitude"/>
    <tableColumn id="2" xr3:uid="{C2C97874-87BF-4F49-8E77-46CBD4B4BE4A}" name="Default"/>
    <tableColumn id="3" xr3:uid="{2269703A-CD27-4542-B024-242B1A805057}" name="Guth"/>
    <tableColumn id="4" xr3:uid="{CF64BBBD-0D58-4197-9737-466E1D604376}" name="Mooney"/>
    <tableColumn id="5" xr3:uid="{2F62C0DF-5422-48A6-88EC-800D14AC8CAF}" name="Ker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2C64-06DF-4408-84BC-5CD53FB648D2}">
  <dimension ref="A1:D21"/>
  <sheetViews>
    <sheetView tabSelected="1" zoomScale="102" workbookViewId="0">
      <selection activeCell="A29" sqref="A29"/>
    </sheetView>
  </sheetViews>
  <sheetFormatPr defaultRowHeight="14.4" x14ac:dyDescent="0.3"/>
  <cols>
    <col min="1" max="1" width="12.77734375" customWidth="1"/>
    <col min="2" max="2" width="12.6640625" customWidth="1"/>
    <col min="3" max="3" width="10.77734375" customWidth="1"/>
    <col min="4" max="4" width="12.33203125" customWidth="1"/>
  </cols>
  <sheetData>
    <row r="1" spans="1:4" x14ac:dyDescent="0.3">
      <c r="A1" s="3" t="s">
        <v>8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>
        <v>0.95379999999999998</v>
      </c>
      <c r="C3">
        <v>0.95379999999999998</v>
      </c>
      <c r="D3">
        <v>0.9667</v>
      </c>
    </row>
    <row r="4" spans="1:4" x14ac:dyDescent="0.3">
      <c r="A4" t="s">
        <v>5</v>
      </c>
      <c r="B4">
        <v>0.69789999999999996</v>
      </c>
      <c r="C4">
        <v>0.69799999999999995</v>
      </c>
      <c r="D4">
        <v>0.69720000000000004</v>
      </c>
    </row>
    <row r="5" spans="1:4" x14ac:dyDescent="0.3">
      <c r="A5" t="s">
        <v>6</v>
      </c>
      <c r="B5">
        <v>0.65359999999999996</v>
      </c>
      <c r="C5">
        <v>0.65369999999999995</v>
      </c>
      <c r="D5">
        <v>0.65169999999999995</v>
      </c>
    </row>
    <row r="6" spans="1:4" x14ac:dyDescent="0.3">
      <c r="A6" t="s">
        <v>7</v>
      </c>
      <c r="B6">
        <v>0.79949999999999999</v>
      </c>
      <c r="C6">
        <v>0.79949999999999999</v>
      </c>
      <c r="D6">
        <v>0.80269999999999997</v>
      </c>
    </row>
    <row r="8" spans="1:4" x14ac:dyDescent="0.3">
      <c r="A8" s="3" t="s">
        <v>9</v>
      </c>
    </row>
    <row r="9" spans="1:4" x14ac:dyDescent="0.3">
      <c r="A9" t="s">
        <v>0</v>
      </c>
      <c r="B9" t="s">
        <v>1</v>
      </c>
      <c r="C9" t="s">
        <v>2</v>
      </c>
      <c r="D9" t="s">
        <v>3</v>
      </c>
    </row>
    <row r="10" spans="1:4" x14ac:dyDescent="0.3">
      <c r="A10" t="s">
        <v>4</v>
      </c>
      <c r="B10" s="1">
        <v>1.8438298034523</v>
      </c>
      <c r="C10" s="1">
        <v>1.84338246688453</v>
      </c>
      <c r="D10" s="1">
        <v>1.8487956246572099</v>
      </c>
    </row>
    <row r="11" spans="1:4" x14ac:dyDescent="0.3">
      <c r="A11" t="s">
        <v>5</v>
      </c>
      <c r="B11" s="1">
        <v>1.7286666346497299</v>
      </c>
      <c r="C11" s="1">
        <v>1.7287784283543099</v>
      </c>
      <c r="D11" s="1">
        <v>1.7359708081387899</v>
      </c>
    </row>
    <row r="12" spans="1:4" x14ac:dyDescent="0.3">
      <c r="A12" t="s">
        <v>6</v>
      </c>
      <c r="B12" s="1">
        <v>1.71755194470252</v>
      </c>
      <c r="C12" s="1">
        <v>1.7178082711451399</v>
      </c>
      <c r="D12" s="1">
        <v>1.7251720106530299</v>
      </c>
    </row>
    <row r="13" spans="1:4" x14ac:dyDescent="0.3">
      <c r="A13" t="s">
        <v>7</v>
      </c>
      <c r="B13" s="1">
        <v>1.7615745175880899</v>
      </c>
      <c r="C13" s="1">
        <v>1.7614138277217</v>
      </c>
      <c r="D13" s="1">
        <v>1.76809188651991</v>
      </c>
    </row>
    <row r="16" spans="1:4" x14ac:dyDescent="0.3">
      <c r="A16" s="3" t="s">
        <v>14</v>
      </c>
    </row>
    <row r="17" spans="1:4" x14ac:dyDescent="0.3">
      <c r="A17" t="s">
        <v>21</v>
      </c>
      <c r="B17" t="s">
        <v>5</v>
      </c>
      <c r="C17" t="s">
        <v>6</v>
      </c>
      <c r="D17" t="s">
        <v>7</v>
      </c>
    </row>
    <row r="18" spans="1:4" x14ac:dyDescent="0.3">
      <c r="A18" t="s">
        <v>8</v>
      </c>
      <c r="B18" s="2">
        <f>ABS((C4-C3)/C3)</f>
        <v>0.26819039630949887</v>
      </c>
      <c r="C18" s="2">
        <f>ABS((C5-C3)/C3)</f>
        <v>0.31463619207381005</v>
      </c>
      <c r="D18" s="2">
        <f>ABS((C6-C3)/C3)</f>
        <v>0.16177395680436149</v>
      </c>
    </row>
    <row r="19" spans="1:4" x14ac:dyDescent="0.3">
      <c r="A19" t="s">
        <v>9</v>
      </c>
      <c r="B19" s="2">
        <f>ABS((C11-C10)/C10)</f>
        <v>6.2170515662932628E-2</v>
      </c>
      <c r="C19" s="2">
        <f>ABS((C12-C10)/C10)</f>
        <v>6.8121617730053041E-2</v>
      </c>
      <c r="D19" s="2">
        <f>ABS((C13-C10)/C10)</f>
        <v>4.4466430941682913E-2</v>
      </c>
    </row>
    <row r="21" spans="1:4" x14ac:dyDescent="0.3">
      <c r="A21" s="3" t="s">
        <v>15</v>
      </c>
      <c r="B21" s="3" t="s">
        <v>16</v>
      </c>
      <c r="C21" s="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47F8-C987-4940-9A4B-AF550FDBA414}">
  <dimension ref="A1:E18"/>
  <sheetViews>
    <sheetView workbookViewId="0">
      <selection activeCell="E18" sqref="E18"/>
    </sheetView>
  </sheetViews>
  <sheetFormatPr defaultRowHeight="14.4" x14ac:dyDescent="0.3"/>
  <cols>
    <col min="1" max="1" width="17" customWidth="1"/>
    <col min="2" max="2" width="15.77734375" customWidth="1"/>
    <col min="3" max="3" width="11.77734375" customWidth="1"/>
    <col min="4" max="4" width="12" bestFit="1" customWidth="1"/>
    <col min="5" max="5" width="10.88671875" customWidth="1"/>
  </cols>
  <sheetData>
    <row r="1" spans="1:5" x14ac:dyDescent="0.3">
      <c r="A1" s="3" t="s">
        <v>20</v>
      </c>
    </row>
    <row r="2" spans="1:5" x14ac:dyDescent="0.3">
      <c r="A2" t="s">
        <v>17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10</v>
      </c>
      <c r="B3">
        <v>0.132837940797006</v>
      </c>
      <c r="C3">
        <v>4.71476068422335E-2</v>
      </c>
      <c r="D3">
        <v>4.0631446354482598E-2</v>
      </c>
      <c r="E3">
        <v>6.7857361094004004E-2</v>
      </c>
    </row>
    <row r="4" spans="1:5" x14ac:dyDescent="0.3">
      <c r="A4" t="s">
        <v>11</v>
      </c>
      <c r="B4">
        <v>0.45704881801401098</v>
      </c>
      <c r="C4">
        <v>0.18438431330628</v>
      </c>
      <c r="D4">
        <v>0.159811500172961</v>
      </c>
      <c r="E4">
        <v>0.259349362226998</v>
      </c>
    </row>
    <row r="5" spans="1:5" x14ac:dyDescent="0.3">
      <c r="A5" t="s">
        <v>12</v>
      </c>
      <c r="B5">
        <v>0.70088400530086803</v>
      </c>
      <c r="C5">
        <v>0.34541796582759698</v>
      </c>
      <c r="D5">
        <v>0.30388583540334402</v>
      </c>
      <c r="E5">
        <v>0.46131548553317597</v>
      </c>
    </row>
    <row r="6" spans="1:5" x14ac:dyDescent="0.3">
      <c r="A6" t="s">
        <v>13</v>
      </c>
      <c r="B6">
        <v>0.92486510535883804</v>
      </c>
      <c r="C6">
        <v>0.576477041859215</v>
      </c>
      <c r="D6">
        <v>0.52327219067318398</v>
      </c>
      <c r="E6">
        <v>0.70681956698280002</v>
      </c>
    </row>
    <row r="7" spans="1:5" x14ac:dyDescent="0.3">
      <c r="A7" t="s">
        <v>18</v>
      </c>
      <c r="B7">
        <v>0.43565511996297401</v>
      </c>
      <c r="C7">
        <v>0.43687707375074197</v>
      </c>
      <c r="D7">
        <v>0.43697983419269099</v>
      </c>
      <c r="E7">
        <v>0.43654444642909401</v>
      </c>
    </row>
    <row r="10" spans="1:5" x14ac:dyDescent="0.3">
      <c r="A10" s="3" t="s">
        <v>14</v>
      </c>
      <c r="B10" s="3"/>
    </row>
    <row r="11" spans="1:5" x14ac:dyDescent="0.3">
      <c r="A11" t="s">
        <v>19</v>
      </c>
      <c r="B11" t="s">
        <v>5</v>
      </c>
      <c r="C11" t="s">
        <v>6</v>
      </c>
      <c r="D11" t="s">
        <v>7</v>
      </c>
    </row>
    <row r="12" spans="1:5" x14ac:dyDescent="0.3">
      <c r="A12" t="s">
        <v>10</v>
      </c>
      <c r="B12" s="2">
        <f>ABS((C3-B3)/B3)</f>
        <v>0.64507424189688922</v>
      </c>
      <c r="C12" s="2">
        <f>ABS((D3-B3)/B3)</f>
        <v>0.69412770093618936</v>
      </c>
      <c r="D12" s="2">
        <f>ABS((E3-B3)/B3)</f>
        <v>0.48917183835528544</v>
      </c>
    </row>
    <row r="13" spans="1:5" x14ac:dyDescent="0.3">
      <c r="A13" t="s">
        <v>11</v>
      </c>
      <c r="B13" s="2">
        <f>ABS((C4-B4)/B4)</f>
        <v>0.59657632611878308</v>
      </c>
      <c r="C13" s="2">
        <f>ABS((D4-B4)/B4)</f>
        <v>0.65034041469053339</v>
      </c>
      <c r="D13" s="2">
        <f>ABS((E4-B4)/B4)</f>
        <v>0.43255654099722984</v>
      </c>
    </row>
    <row r="14" spans="1:5" x14ac:dyDescent="0.3">
      <c r="A14" t="s">
        <v>12</v>
      </c>
      <c r="B14" s="2">
        <f>ABS((C5-B5)/B5)</f>
        <v>0.50716814306624158</v>
      </c>
      <c r="C14" s="2">
        <f>ABS((D5-B5)/B5)</f>
        <v>0.56642492465940186</v>
      </c>
      <c r="D14" s="2">
        <f>ABS((E5-B5)/B5)</f>
        <v>0.34180908389377873</v>
      </c>
    </row>
    <row r="15" spans="1:5" x14ac:dyDescent="0.3">
      <c r="A15" t="s">
        <v>13</v>
      </c>
      <c r="B15" s="2">
        <f>ABS((C6-B6)/B6)</f>
        <v>0.37669067789561816</v>
      </c>
      <c r="C15" s="2">
        <f>ABS((D6-B6)/B6)</f>
        <v>0.43421782523608154</v>
      </c>
      <c r="D15" s="2">
        <f>ABS((E6-B6)/B6)</f>
        <v>0.23575928761139564</v>
      </c>
    </row>
    <row r="16" spans="1:5" x14ac:dyDescent="0.3">
      <c r="A16" t="s">
        <v>18</v>
      </c>
      <c r="B16" s="2">
        <f>ABS((C7-B7)/B7)</f>
        <v>2.8048649763873145E-3</v>
      </c>
      <c r="C16" s="2">
        <f>ABS((D7-B7)/B7)</f>
        <v>3.0407406432628606E-3</v>
      </c>
      <c r="D16" s="2">
        <f>ABS((E7-B7)/B7)</f>
        <v>2.0413543313701505E-3</v>
      </c>
    </row>
    <row r="18" spans="1:2" x14ac:dyDescent="0.3">
      <c r="A18" s="3" t="s">
        <v>15</v>
      </c>
      <c r="B18" s="3" t="s">
        <v>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Wheel_Gripper_Comparison</vt:lpstr>
      <vt:lpstr>Beam_Comparison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Galloway, Ian B. - SDSMT Student</dc:creator>
  <cp:lastModifiedBy>Galloway, Ian B. - SDSMT Student</cp:lastModifiedBy>
  <dcterms:created xsi:type="dcterms:W3CDTF">2026-05-19T17:55:14Z</dcterms:created>
  <dcterms:modified xsi:type="dcterms:W3CDTF">2026-05-27T16:51:53Z</dcterms:modified>
</cp:coreProperties>
</file>